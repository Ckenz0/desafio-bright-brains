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uek\Downloads\"/>
    </mc:Choice>
  </mc:AlternateContent>
  <xr:revisionPtr revIDLastSave="0" documentId="13_ncr:1_{727C02A7-3A22-4722-9D66-4082AAE8CF7B}" xr6:coauthVersionLast="47" xr6:coauthVersionMax="47" xr10:uidLastSave="{00000000-0000-0000-0000-000000000000}"/>
  <bookViews>
    <workbookView xWindow="2730" yWindow="2730" windowWidth="21600" windowHeight="11295" tabRatio="500" xr2:uid="{00000000-000D-0000-FFFF-FFFF00000000}"/>
  </bookViews>
  <sheets>
    <sheet name="Dados" sheetId="1" r:id="rId1"/>
    <sheet name="Análise por Condiçã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2" l="1"/>
  <c r="C5" i="2"/>
  <c r="B5" i="2"/>
  <c r="D4" i="2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<sst xmlns="http://schemas.openxmlformats.org/spreadsheetml/2006/main" count="29" uniqueCount="20">
  <si>
    <t>Paciente</t>
  </si>
  <si>
    <t>Idade</t>
  </si>
  <si>
    <t>Condição</t>
  </si>
  <si>
    <t>Sessões</t>
  </si>
  <si>
    <t>Melhora (%)</t>
  </si>
  <si>
    <t>João</t>
  </si>
  <si>
    <t>Depressão</t>
  </si>
  <si>
    <t>Maria</t>
  </si>
  <si>
    <t>Ansiedade</t>
  </si>
  <si>
    <t>Carlos</t>
  </si>
  <si>
    <t>Insônia</t>
  </si>
  <si>
    <t>Ana</t>
  </si>
  <si>
    <t>TDAH</t>
  </si>
  <si>
    <t>Pedro</t>
  </si>
  <si>
    <t>Julia</t>
  </si>
  <si>
    <t>Lucas</t>
  </si>
  <si>
    <t>Fernanda</t>
  </si>
  <si>
    <t>Média Melhora (%)</t>
  </si>
  <si>
    <t>Média Sessões</t>
  </si>
  <si>
    <t>Qtd Pacientes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</si>
</sst>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D5AA0"/>
        <bgColor rgb="FF333399"/>
      </patternFill>
    </fill>
    <fill>
      <patternFill patternType="solid">
        <fgColor rgb="FFF0F4FA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A"/>
      <rgbColor rgb="FFCCFFFF"/>
      <rgbColor rgb="FF660066"/>
      <rgbColor rgb="FFFF8080"/>
      <rgbColor rgb="FF2D5A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/>
  </sheetViews>
  <sheetFormatPr defaultColWidth="8.7109375" defaultRowHeight="15" x14ac:dyDescent="0.25"/>
  <cols>
    <col min="1" max="1" width="16" customWidth="1"/>
    <col min="2" max="2" width="10" customWidth="1"/>
    <col min="3" max="3" width="14" customWidth="1"/>
    <col min="4" max="4" width="12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</v>
      </c>
      <c r="C2" s="2" t="s">
        <v>6</v>
      </c>
      <c r="D2" s="2">
        <v>20</v>
      </c>
      <c r="E2" s="2">
        <v>60</v>
      </c>
    </row>
    <row r="3" spans="1:5" x14ac:dyDescent="0.25">
      <c r="A3" s="3" t="s">
        <v>7</v>
      </c>
      <c r="B3" s="3">
        <v>30</v>
      </c>
      <c r="C3" s="3" t="s">
        <v>8</v>
      </c>
      <c r="D3" s="3">
        <v>15</v>
      </c>
      <c r="E3" s="3">
        <v>40</v>
      </c>
    </row>
    <row r="4" spans="1:5" x14ac:dyDescent="0.25">
      <c r="A4" s="2" t="s">
        <v>9</v>
      </c>
      <c r="B4" s="2">
        <v>50</v>
      </c>
      <c r="C4" s="2" t="s">
        <v>10</v>
      </c>
      <c r="D4" s="2">
        <v>10</v>
      </c>
      <c r="E4" s="2">
        <v>30</v>
      </c>
    </row>
    <row r="5" spans="1:5" x14ac:dyDescent="0.25">
      <c r="A5" s="3" t="s">
        <v>11</v>
      </c>
      <c r="B5" s="3">
        <v>28</v>
      </c>
      <c r="C5" s="3" t="s">
        <v>12</v>
      </c>
      <c r="D5" s="3">
        <v>25</v>
      </c>
      <c r="E5" s="3">
        <v>70</v>
      </c>
    </row>
    <row r="6" spans="1:5" x14ac:dyDescent="0.25">
      <c r="A6" s="2" t="s">
        <v>13</v>
      </c>
      <c r="B6" s="2">
        <v>60</v>
      </c>
      <c r="C6" s="2" t="s">
        <v>6</v>
      </c>
      <c r="D6" s="2">
        <v>30</v>
      </c>
      <c r="E6" s="2">
        <v>80</v>
      </c>
    </row>
    <row r="7" spans="1:5" x14ac:dyDescent="0.25">
      <c r="A7" s="3" t="s">
        <v>14</v>
      </c>
      <c r="B7" s="3">
        <v>35</v>
      </c>
      <c r="C7" s="3" t="s">
        <v>8</v>
      </c>
      <c r="D7" s="3">
        <v>18</v>
      </c>
      <c r="E7" s="3">
        <v>50</v>
      </c>
    </row>
    <row r="8" spans="1:5" x14ac:dyDescent="0.25">
      <c r="A8" s="2" t="s">
        <v>15</v>
      </c>
      <c r="B8" s="2">
        <v>40</v>
      </c>
      <c r="C8" s="2" t="s">
        <v>12</v>
      </c>
      <c r="D8" s="2">
        <v>22</v>
      </c>
      <c r="E8" s="2">
        <v>65</v>
      </c>
    </row>
    <row r="9" spans="1:5" x14ac:dyDescent="0.25">
      <c r="A9" s="3" t="s">
        <v>16</v>
      </c>
      <c r="B9" s="3">
        <v>55</v>
      </c>
      <c r="C9" s="3" t="s">
        <v>10</v>
      </c>
      <c r="D9" s="3">
        <v>12</v>
      </c>
      <c r="E9" s="3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16" customWidth="1"/>
    <col min="2" max="2" width="20" customWidth="1"/>
    <col min="3" max="4" width="16" customWidth="1"/>
  </cols>
  <sheetData>
    <row r="1" spans="1:4" x14ac:dyDescent="0.25">
      <c r="A1" s="1" t="s">
        <v>2</v>
      </c>
      <c r="B1" s="1" t="s">
        <v>17</v>
      </c>
      <c r="C1" s="1" t="s">
        <v>18</v>
      </c>
      <c r="D1" s="1" t="s">
        <v>19</v>
      </c>
    </row>
    <row r="2" spans="1:4" x14ac:dyDescent="0.25">
      <c r="A2" s="2" t="s">
        <v>8</v>
      </c>
      <c r="B2" s="2">
        <f>AVERAGEIF(Dados!C2:C9,A2,Dados!E2:E9)</f>
        <v>45</v>
      </c>
      <c r="C2" s="2">
        <f>AVERAGEIF(Dados!C2:C9,A2,Dados!D2:D9)</f>
        <v>16.5</v>
      </c>
      <c r="D2" s="2">
        <f>COUNTIF(Dados!C2:C9,A2)</f>
        <v>2</v>
      </c>
    </row>
    <row r="3" spans="1:4" x14ac:dyDescent="0.25">
      <c r="A3" s="3" t="s">
        <v>6</v>
      </c>
      <c r="B3" s="3">
        <f>AVERAGEIF(Dados!C2:C9,A3,Dados!E2:E9)</f>
        <v>70</v>
      </c>
      <c r="C3" s="3">
        <f>AVERAGEIF(Dados!C2:C9,A3,Dados!D2:D9)</f>
        <v>25</v>
      </c>
      <c r="D3" s="3">
        <f>COUNTIF(Dados!C2:C9,A3)</f>
        <v>2</v>
      </c>
    </row>
    <row r="4" spans="1:4" x14ac:dyDescent="0.25">
      <c r="A4" s="2" t="s">
        <v>10</v>
      </c>
      <c r="B4" s="2">
        <f>AVERAGEIF(Dados!C2:C9,A4,Dados!E2:E9)</f>
        <v>32.5</v>
      </c>
      <c r="C4" s="2">
        <f>AVERAGEIF(Dados!C2:C9,A4,Dados!D2:D9)</f>
        <v>11</v>
      </c>
      <c r="D4" s="2">
        <f>COUNTIF(Dados!C2:C9,A4)</f>
        <v>2</v>
      </c>
    </row>
    <row r="5" spans="1:4" x14ac:dyDescent="0.25">
      <c r="A5" s="3" t="s">
        <v>12</v>
      </c>
      <c r="B5" s="3">
        <f>AVERAGEIF(Dados!C2:C9,A5,Dados!E2:E9)</f>
        <v>67.5</v>
      </c>
      <c r="C5" s="3">
        <f>AVERAGEIF(Dados!C2:C9,A5,Dados!D2:D9)</f>
        <v>23.5</v>
      </c>
      <c r="D5" s="3">
        <f>COUNTIF(Dados!C2:C9,A5)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Análise por Condição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Cauê Adaniya</cp:lastModifiedBy>
  <cp:revision>0</cp:revision>
  <dcterms:created xsi:type="dcterms:W3CDTF">2026-03-20T13:20:13Z</dcterms:created>
  <dcterms:modified xsi:type="dcterms:W3CDTF">2026-03-20T14:55:09Z</dcterms:modified>
  <dc:language>en-US</dc:language>
</cp:coreProperties>
</file>